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6a009736889f03/Área de Trabalho/Pessoal/Curso-de-Analíse-de-dados/Excel/"/>
    </mc:Choice>
  </mc:AlternateContent>
  <xr:revisionPtr revIDLastSave="434" documentId="13_ncr:1_{3C2F8ED6-40B2-4E08-832A-7140AC03FA60}" xr6:coauthVersionLast="47" xr6:coauthVersionMax="47" xr10:uidLastSave="{54D85EB8-2136-4EF8-B9FE-B80B285FB1C4}"/>
  <bookViews>
    <workbookView xWindow="-108" yWindow="-108" windowWidth="23256" windowHeight="12456" tabRatio="231" activeTab="3" xr2:uid="{28DD5B76-0634-4F87-BE60-8BFA7EF2E23B}"/>
  </bookViews>
  <sheets>
    <sheet name="A̳ssets" sheetId="1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3" l="1"/>
  <c r="F29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<sst xmlns="http://schemas.openxmlformats.org/spreadsheetml/2006/main" count="2022" uniqueCount="324">
  <si>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</si>
  <si>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</si>
  <si>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</si>
  <si>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</si>
  <si>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</si>
  <si>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</si>
  <si>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</si>
  <si>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</si>
  <si>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</si>
  <si>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</si>
  <si>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</si>
  <si>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</si>
  <si>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</si>
  <si>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</si>
  <si>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</si>
  <si>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</si>
  <si>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</si>
  <si>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</si>
  <si>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</si>
  <si>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</si>
  <si>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</si>
  <si>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</si>
  <si>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</si>
  <si>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</si>
  <si>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</si>
  <si>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</si>
  <si>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</si>
  <si>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</si>
  <si>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</si>
  <si>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</si>
  <si>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</si>
  <si>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</si>
  <si>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</si>
  <si>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</si>
  <si>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</si>
  <si>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</si>
  <si>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</si>
  <si>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</si>
  <si>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</si>
  <si>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</si>
  <si>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</si>
  <si>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</si>
  <si>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</si>
  <si>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</si>
  <si>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</si>
  <si>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</si>
  <si>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</si>
  <si>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</si>
  <si>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</si>
  <si>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</si>
  <si>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</si>
  <si>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</si>
  <si>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</si>
  <si>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</si>
  <si>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</si>
  <si>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</si>
  <si>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</si>
  <si>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</si>
  <si>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</si>
  <si>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</si>
  <si>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</si>
  <si>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</si>
  <si>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</si>
  <si>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</si>
  <si>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</si>
  <si>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</si>
  <si>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</si>
  <si>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</si>
  <si>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</si>
  <si>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</si>
  <si>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</si>
  <si>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</si>
  <si>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</si>
  <si>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</si>
  <si>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</si>
  <si>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</si>
  <si>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</si>
  <si>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</si>
  <si>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</si>
  <si>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</si>
  <si>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</si>
  <si>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</si>
  <si>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</si>
  <si>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</si>
  <si>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</si>
  <si>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</si>
  <si>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</si>
  <si>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</si>
  <si>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</si>
  <si>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</si>
  <si>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</si>
  <si>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</si>
  <si>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</si>
  <si>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</si>
  <si>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</si>
  <si>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</si>
  <si>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</si>
  <si>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</si>
  <si>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</si>
  <si>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</si>
  <si>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</si>
  <si>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</si>
  <si>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</si>
  <si>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</si>
  <si>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</si>
  <si>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</si>
  <si>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</si>
  <si>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</si>
  <si>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</si>
  <si>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</si>
  <si>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</si>
  <si>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</si>
  <si>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</si>
  <si>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</si>
  <si>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</si>
  <si>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</si>
  <si>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</si>
  <si>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</si>
  <si>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</si>
  <si>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</si>
  <si>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</si>
  <si>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</si>
  <si>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</si>
  <si>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</si>
  <si>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</si>
  <si>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</si>
  <si>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</si>
  <si>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</si>
  <si>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</si>
  <si>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</si>
  <si>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</si>
  <si>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</si>
  <si>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</si>
  <si>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</si>
  <si>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</si>
  <si>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</si>
  <si>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</si>
  <si>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</si>
  <si>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</si>
  <si>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</si>
  <si>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</si>
  <si>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</si>
  <si>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</si>
  <si>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</si>
  <si>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</si>
  <si>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</si>
  <si>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</si>
  <si>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</si>
  <si>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</si>
  <si>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</si>
  <si>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</si>
  <si>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</si>
  <si>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</si>
  <si>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</si>
  <si>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</si>
  <si>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</si>
  <si>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</si>
  <si>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</si>
  <si>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</si>
  <si>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</si>
  <si>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</si>
  <si>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</si>
  <si>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</si>
  <si>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</si>
  <si>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</si>
  <si>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</si>
  <si>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</si>
  <si>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</si>
  <si>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</si>
  <si>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</si>
  <si>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</si>
  <si>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</si>
  <si>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</si>
  <si>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</si>
  <si>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</si>
  <si>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</si>
  <si>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</si>
  <si>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</si>
  <si>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</si>
  <si>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</si>
  <si>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</si>
  <si>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</si>
  <si>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</si>
  <si>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</si>
  <si>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</si>
  <si>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</si>
  <si>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</si>
  <si>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</si>
  <si>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</si>
  <si>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</si>
  <si>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</si>
  <si>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</si>
  <si>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</si>
  <si>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</si>
  <si>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</si>
  <si>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</si>
  <si>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</si>
  <si>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</si>
  <si>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</si>
  <si>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</si>
  <si>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</si>
  <si>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</si>
  <si>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</si>
  <si>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</si>
  <si>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</si>
  <si>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</si>
  <si>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</si>
  <si>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</si>
  <si>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</si>
  <si>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</si>
  <si>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</si>
  <si>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</si>
  <si>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</si>
  <si>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</si>
  <si>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</si>
  <si>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</si>
  <si>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</si>
  <si>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</si>
  <si>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</si>
  <si>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</si>
  <si>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</si>
  <si>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</si>
  <si>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</si>
  <si>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</si>
  <si>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</si>
  <si>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</si>
  <si>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</si>
  <si>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</si>
  <si>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</si>
  <si>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</si>
  <si>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</si>
  <si>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</si>
  <si>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</si>
  <si>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</si>
  <si>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</si>
  <si>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</si>
  <si>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</si>
  <si>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</si>
  <si>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</si>
  <si>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</si>
  <si>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</si>
  <si>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</si>
  <si>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</si>
  <si>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</si>
  <si>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</si>
  <si>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</si>
  <si>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</si>
  <si>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</si>
  <si>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</si>
  <si>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</si>
  <si>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</si>
  <si>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</si>
  <si>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</si>
  <si>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</si>
  <si>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</si>
  <si>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</si>
  <si>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</si>
  <si>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</si>
  <si>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</si>
  <si>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</si>
  <si>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</si>
  <si>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</si>
  <si>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</si>
  <si>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</si>
  <si>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</si>
  <si>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</si>
  <si>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</si>
  <si>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</si>
  <si>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</si>
  <si>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</si>
  <si>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</si>
  <si>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</si>
  <si>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</si>
  <si>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</si>
  <si>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</si>
  <si>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</si>
  <si>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</si>
  <si>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</si>
  <si>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</si>
  <si>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</si>
  <si>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</si>
  <si>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</si>
  <si>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</si>
  <si>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</si>
  <si>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</si>
  <si>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</si>
  <si>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</si>
  <si>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</si>
  <si>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</si>
  <si>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</si>
  <si>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</si>
  <si>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</si>
  <si>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</si>
  <si>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</si>
  <si>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</si>
  <si>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</si>
  <si>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</si>
  <si>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</si>
  <si>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</si>
  <si>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</si>
  <si>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</si>
  <si>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</si>
  <si>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</si>
  <si>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</si>
  <si>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</si>
  <si>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</si>
  <si>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</si>
  <si>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</si>
  <si>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</si>
  <si>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</si>
  <si>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</si>
  <si>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</si>
  <si>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</si>
  <si>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</si>
  <si>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</si>
  <si>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</si>
  <si>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Informação: É uma pergunta de Negócio respondida através de alguma analise de dado específica.</t>
  </si>
  <si>
    <r>
      <t>Pergunta de Negócio 1: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</si>
  <si>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Pergunta de Negócio 2: Qual faturamento total de vendas de plano anuais, separando por auto renovação e pelo que não tem auto renovação</t>
  </si>
  <si>
    <t>XBOX GAME PASS SUBSCRIPTION SALE</t>
  </si>
  <si>
    <t>Pergunta de Négocio 3: Total de vendas de assinatura do EA Play.</t>
  </si>
  <si>
    <t>Soma de EA Play Season Pass</t>
  </si>
  <si>
    <t>Pergunta de Negócio 4: Total de vendas de assinaturas do Minecraft Seasons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</si>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</sst>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4" fillId="0" borderId="2" xfId="1" applyFont="1" applyBorder="1"/>
    <xf numFmtId="0" fontId="1" fillId="0" borderId="2" xfId="1" applyBorder="1"/>
    <xf numFmtId="0" fontId="5" fillId="7" borderId="0" xfId="0" applyFont="1" applyFill="1"/>
    <xf numFmtId="164" fontId="0" fillId="0" borderId="0" xfId="0" applyNumberFormat="1"/>
    <xf numFmtId="44" fontId="0" fillId="0" borderId="0" xfId="2" applyFont="1"/>
    <xf numFmtId="0" fontId="0" fillId="0" borderId="2" xfId="0" applyBorder="1"/>
    <xf numFmtId="0" fontId="4" fillId="0" borderId="2" xfId="1" applyFont="1" applyBorder="1" applyAlignment="1">
      <alignment horizontal="left" indent="11"/>
    </xf>
    <xf numFmtId="0" fontId="4" fillId="0" borderId="2" xfId="1" applyFont="1" applyBorder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0FFABA5-BA52-41AD-858F-0942C421D3C9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[errado.xlsx]C̳álculos!tbl_annual_total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148107340728621E-2"/>
          <c:y val="4.0577342680742E-2"/>
          <c:w val="0.89026084801523764"/>
          <c:h val="0.91884531463851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C̳álculos!$C$15:$C$17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C̳álculos!$D$15:$D$17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C-4338-B685-4E28B86C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027264"/>
        <c:axId val="470028704"/>
      </c:barChart>
      <c:catAx>
        <c:axId val="47002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0028704"/>
        <c:crosses val="autoZero"/>
        <c:auto val="1"/>
        <c:lblAlgn val="ctr"/>
        <c:lblOffset val="100"/>
        <c:noMultiLvlLbl val="0"/>
      </c:catAx>
      <c:valAx>
        <c:axId val="4700287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70027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0</xdr:rowOff>
    </xdr:from>
    <xdr:to>
      <xdr:col>2</xdr:col>
      <xdr:colOff>342901</xdr:colOff>
      <xdr:row>3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70A278-6B10-408D-9027-9100C8791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3" t="12582" r="73267" b="7418"/>
        <a:stretch>
          <a:fillRect/>
        </a:stretch>
      </xdr:blipFill>
      <xdr:spPr>
        <a:xfrm>
          <a:off x="1838325" y="0"/>
          <a:ext cx="581026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306705</xdr:rowOff>
    </xdr:from>
    <xdr:to>
      <xdr:col>1</xdr:col>
      <xdr:colOff>0</xdr:colOff>
      <xdr:row>20</xdr:row>
      <xdr:rowOff>125730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DC8C435-3346-4D15-A06E-8B1243A2FD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4955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47624</xdr:colOff>
      <xdr:row>7</xdr:row>
      <xdr:rowOff>52387</xdr:rowOff>
    </xdr:from>
    <xdr:to>
      <xdr:col>9</xdr:col>
      <xdr:colOff>190500</xdr:colOff>
      <xdr:row>14</xdr:row>
      <xdr:rowOff>33337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2B9E849E-E46A-B626-CE0F-30544B58D35A}"/>
            </a:ext>
          </a:extLst>
        </xdr:cNvPr>
        <xdr:cNvGrpSpPr/>
      </xdr:nvGrpSpPr>
      <xdr:grpSpPr>
        <a:xfrm>
          <a:off x="2124074" y="1290637"/>
          <a:ext cx="4410076" cy="1657350"/>
          <a:chOff x="2162174" y="1619250"/>
          <a:chExt cx="4410076" cy="1657350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3209A334-33D4-5FDB-020F-5E9B055D8C9C}"/>
              </a:ext>
            </a:extLst>
          </xdr:cNvPr>
          <xdr:cNvSpPr/>
        </xdr:nvSpPr>
        <xdr:spPr>
          <a:xfrm>
            <a:off x="2162175" y="1619250"/>
            <a:ext cx="4410075" cy="1657350"/>
          </a:xfrm>
          <a:prstGeom prst="roundRect">
            <a:avLst>
              <a:gd name="adj" fmla="val 919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9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CD12965-0E39-454F-B561-5F4CE8B9B1E2}"/>
              </a:ext>
            </a:extLst>
          </xdr:cNvPr>
          <xdr:cNvSpPr/>
        </xdr:nvSpPr>
        <xdr:spPr>
          <a:xfrm>
            <a:off x="3543299" y="2133601"/>
            <a:ext cx="2905125" cy="981074"/>
          </a:xfrm>
          <a:prstGeom prst="roundRect">
            <a:avLst>
              <a:gd name="adj" fmla="val 919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518ADCA-A65B-4BB6-B658-55AC000B8240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3AEBAE3-88BB-4339-A12A-D53DB9AC1E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95525" y="2028825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F6FB28D1-ED0C-32E0-3398-E4C2A9EB9A23}"/>
              </a:ext>
            </a:extLst>
          </xdr:cNvPr>
          <xdr:cNvSpPr/>
        </xdr:nvSpPr>
        <xdr:spPr>
          <a:xfrm>
            <a:off x="2162174" y="1619250"/>
            <a:ext cx="4410075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</a:t>
            </a:r>
            <a:r>
              <a:rPr lang="pt-BR" sz="1400" baseline="0"/>
              <a:t> SUBSCRIPTIONS EA PLAY SEASON PASS</a:t>
            </a:r>
            <a:endParaRPr lang="pt-BR" sz="1400"/>
          </a:p>
        </xdr:txBody>
      </xdr:sp>
    </xdr:grpSp>
    <xdr:clientData/>
  </xdr:twoCellAnchor>
  <xdr:twoCellAnchor>
    <xdr:from>
      <xdr:col>12</xdr:col>
      <xdr:colOff>9525</xdr:colOff>
      <xdr:row>7</xdr:row>
      <xdr:rowOff>52387</xdr:rowOff>
    </xdr:from>
    <xdr:to>
      <xdr:col>19</xdr:col>
      <xdr:colOff>152401</xdr:colOff>
      <xdr:row>14</xdr:row>
      <xdr:rowOff>33337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9554B1B1-29AD-691C-7B58-31AA99D16527}"/>
            </a:ext>
          </a:extLst>
        </xdr:cNvPr>
        <xdr:cNvGrpSpPr/>
      </xdr:nvGrpSpPr>
      <xdr:grpSpPr>
        <a:xfrm>
          <a:off x="8020050" y="1290637"/>
          <a:ext cx="4410076" cy="1657350"/>
          <a:chOff x="8048625" y="1819275"/>
          <a:chExt cx="4410076" cy="165735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9B827F44-3746-492C-97D7-4E90D9C39FD4}"/>
              </a:ext>
            </a:extLst>
          </xdr:cNvPr>
          <xdr:cNvGrpSpPr/>
        </xdr:nvGrpSpPr>
        <xdr:grpSpPr>
          <a:xfrm>
            <a:off x="8048625" y="1819275"/>
            <a:ext cx="4410076" cy="1657350"/>
            <a:chOff x="2162174" y="1619250"/>
            <a:chExt cx="4410076" cy="165735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E89FFF05-D3CB-E009-E4E7-EB8BD0A8AFFC}"/>
                </a:ext>
              </a:extLst>
            </xdr:cNvPr>
            <xdr:cNvSpPr/>
          </xdr:nvSpPr>
          <xdr:spPr>
            <a:xfrm>
              <a:off x="2162175" y="1619250"/>
              <a:ext cx="4410075" cy="1657350"/>
            </a:xfrm>
            <a:prstGeom prst="roundRect">
              <a:avLst>
                <a:gd name="adj" fmla="val 919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41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E929DB61-3909-41D2-6BE9-8135022BA028}"/>
                </a:ext>
              </a:extLst>
            </xdr:cNvPr>
            <xdr:cNvSpPr/>
          </xdr:nvSpPr>
          <xdr:spPr>
            <a:xfrm>
              <a:off x="3543299" y="2133601"/>
              <a:ext cx="2905125" cy="981074"/>
            </a:xfrm>
            <a:prstGeom prst="roundRect">
              <a:avLst>
                <a:gd name="adj" fmla="val 919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51B2B8A-8165-4170-81F6-7C80E0A768E4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5BED4EE8-DD7C-BBC1-5E6A-547DEFCF0976}"/>
                </a:ext>
              </a:extLst>
            </xdr:cNvPr>
            <xdr:cNvSpPr/>
          </xdr:nvSpPr>
          <xdr:spPr>
            <a:xfrm>
              <a:off x="2162174" y="1619250"/>
              <a:ext cx="4410075" cy="4191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/>
                <a:t>TOTAL</a:t>
              </a:r>
              <a:r>
                <a:rPr lang="pt-BR" sz="1400" baseline="0"/>
                <a:t> SUBSCRIPTIONS MINECRAFT SEASON PASS</a:t>
              </a:r>
              <a:endParaRPr lang="pt-BR" sz="1400"/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D020B42-AC93-475D-8050-19757D3BBB40}"/>
              </a:ext>
            </a:extLst>
          </xdr:cNvPr>
          <xdr:cNvGrpSpPr/>
        </xdr:nvGrpSpPr>
        <xdr:grpSpPr>
          <a:xfrm>
            <a:off x="8296275" y="2457449"/>
            <a:ext cx="1390650" cy="655321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484C7E28-DB73-E436-CEA4-0D8622EFE7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BC5816E-6919-E6D0-AFB1-298664AC8D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38100</xdr:colOff>
      <xdr:row>18</xdr:row>
      <xdr:rowOff>57150</xdr:rowOff>
    </xdr:from>
    <xdr:to>
      <xdr:col>20</xdr:col>
      <xdr:colOff>266700</xdr:colOff>
      <xdr:row>38</xdr:row>
      <xdr:rowOff>57150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92C03425-934F-B288-3993-E83092D0EA62}"/>
            </a:ext>
          </a:extLst>
        </xdr:cNvPr>
        <xdr:cNvGrpSpPr/>
      </xdr:nvGrpSpPr>
      <xdr:grpSpPr>
        <a:xfrm>
          <a:off x="2114550" y="3695700"/>
          <a:ext cx="11039475" cy="3619500"/>
          <a:chOff x="2171700" y="3705225"/>
          <a:chExt cx="11125200" cy="36195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8EDA3024-A2FC-103F-A49D-9DB07292E7BC}"/>
              </a:ext>
            </a:extLst>
          </xdr:cNvPr>
          <xdr:cNvGrpSpPr/>
        </xdr:nvGrpSpPr>
        <xdr:grpSpPr>
          <a:xfrm>
            <a:off x="2171701" y="3762375"/>
            <a:ext cx="11125199" cy="3562350"/>
            <a:chOff x="1990726" y="1333500"/>
            <a:chExt cx="4728209" cy="28384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D0E4E716-DC5A-FBC7-610F-B4DE48C37141}"/>
                </a:ext>
              </a:extLst>
            </xdr:cNvPr>
            <xdr:cNvSpPr/>
          </xdr:nvSpPr>
          <xdr:spPr>
            <a:xfrm>
              <a:off x="1990726" y="1333500"/>
              <a:ext cx="4438650" cy="2838450"/>
            </a:xfrm>
            <a:prstGeom prst="roundRect">
              <a:avLst>
                <a:gd name="adj" fmla="val 626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74A5E1D-6B66-4A81-888F-FA08015986AA}"/>
                </a:ext>
              </a:extLst>
            </xdr:cNvPr>
            <xdr:cNvGraphicFramePr>
              <a:graphicFrameLocks/>
            </xdr:cNvGraphicFramePr>
          </xdr:nvGraphicFramePr>
          <xdr:xfrm>
            <a:off x="2146935" y="141922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D5BD6B8D-A7B4-43C5-B18F-312211F59EC6}"/>
              </a:ext>
            </a:extLst>
          </xdr:cNvPr>
          <xdr:cNvSpPr/>
        </xdr:nvSpPr>
        <xdr:spPr>
          <a:xfrm>
            <a:off x="2171700" y="3705225"/>
            <a:ext cx="10448925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</a:t>
            </a:r>
            <a:r>
              <a:rPr lang="pt-BR" sz="1400" baseline="0"/>
              <a:t> SUBSCRIPTIONS XBOX GAME PASS</a:t>
            </a:r>
            <a:endParaRPr lang="pt-BR" sz="1400"/>
          </a:p>
        </xdr:txBody>
      </xdr:sp>
    </xdr:grpSp>
    <xdr:clientData/>
  </xdr:twoCellAnchor>
  <xdr:twoCellAnchor editAs="absolute">
    <xdr:from>
      <xdr:col>0</xdr:col>
      <xdr:colOff>0</xdr:colOff>
      <xdr:row>6</xdr:row>
      <xdr:rowOff>28575</xdr:rowOff>
    </xdr:from>
    <xdr:to>
      <xdr:col>0</xdr:col>
      <xdr:colOff>1819274</xdr:colOff>
      <xdr:row>7</xdr:row>
      <xdr:rowOff>133350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AC94914F-0933-4A80-A90C-D3FD0E0D29F0}"/>
            </a:ext>
          </a:extLst>
        </xdr:cNvPr>
        <xdr:cNvSpPr/>
      </xdr:nvSpPr>
      <xdr:spPr>
        <a:xfrm>
          <a:off x="0" y="1143000"/>
          <a:ext cx="1819274" cy="228600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&gt; Bem vindo,</a:t>
          </a:r>
          <a:r>
            <a:rPr lang="pt-BR" sz="1200" b="1" baseline="0"/>
            <a:t> Ricardo</a:t>
          </a:r>
          <a:endParaRPr lang="pt-BR" sz="1200" b="1"/>
        </a:p>
      </xdr:txBody>
    </xdr:sp>
    <xdr:clientData/>
  </xdr:twoCellAnchor>
  <xdr:twoCellAnchor editAs="absolute">
    <xdr:from>
      <xdr:col>2</xdr:col>
      <xdr:colOff>47624</xdr:colOff>
      <xdr:row>4</xdr:row>
      <xdr:rowOff>57149</xdr:rowOff>
    </xdr:from>
    <xdr:to>
      <xdr:col>10</xdr:col>
      <xdr:colOff>209549</xdr:colOff>
      <xdr:row>6</xdr:row>
      <xdr:rowOff>76200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8EBA8823-6292-4D53-BCE2-B688E6B4D54B}"/>
            </a:ext>
          </a:extLst>
        </xdr:cNvPr>
        <xdr:cNvSpPr/>
      </xdr:nvSpPr>
      <xdr:spPr>
        <a:xfrm>
          <a:off x="2124074" y="942974"/>
          <a:ext cx="5038725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Calculation period: 01/01/2024 - 31/12/2024 | Update date: 10 /03/2026</a:t>
          </a:r>
          <a:endParaRPr lang="pt-BR" sz="12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542925</xdr:colOff>
      <xdr:row>1</xdr:row>
      <xdr:rowOff>19050</xdr:rowOff>
    </xdr:from>
    <xdr:to>
      <xdr:col>0</xdr:col>
      <xdr:colOff>1238250</xdr:colOff>
      <xdr:row>3</xdr:row>
      <xdr:rowOff>72390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EB5D560D-B72C-40C8-AFA9-9E481E2C52F2}"/>
            </a:ext>
          </a:extLst>
        </xdr:cNvPr>
        <xdr:cNvSpPr/>
      </xdr:nvSpPr>
      <xdr:spPr>
        <a:xfrm>
          <a:off x="542925" y="200025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 Cardoso" refreshedDate="46088.838877083334" createdVersion="8" refreshedVersion="8" minRefreshableVersion="3" recordCount="295" xr:uid="{24644452-A93C-4260-87E5-DD87E1D90FA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515733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6B813-E77E-406A-BD01-981432A3EB2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7:D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D987D-C990-4B38-BAB5-59DD534118E3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5:D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h="1"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D2347-1C03-4941-8D45-9E73C250B0AB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4:D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D53763B-79F0-4705-BACD-BEA35421CA53}" sourceName="Subscription Type">
  <pivotTables>
    <pivotTable tabId="3" name="tbl_annual_total"/>
    <pivotTable tabId="3" name="tbl_easeasonpass_total"/>
    <pivotTable tabId="3" name="Tabela dinâmica2"/>
  </pivotTables>
  <data>
    <tabular pivotCacheId="35157331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AB745A1-40EF-46B3-ADA2-090F26AE851C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L16" sqref="L1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79" zoomScale="90" zoomScaleNormal="90" workbookViewId="0">
      <selection activeCell="M9" sqref="M9:M29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G41"/>
  <sheetViews>
    <sheetView showGridLines="0" topLeftCell="A18" workbookViewId="0">
      <selection activeCell="G34" sqref="G34"/>
    </sheetView>
  </sheetViews>
  <sheetFormatPr defaultRowHeight="14.4" x14ac:dyDescent="0.3"/>
  <cols>
    <col min="3" max="3" width="16.77734375" bestFit="1" customWidth="1"/>
    <col min="4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3:7" x14ac:dyDescent="0.3">
      <c r="C4" s="15" t="s">
        <v>316</v>
      </c>
      <c r="D4" s="15"/>
      <c r="E4" s="15"/>
      <c r="F4" s="15"/>
      <c r="G4" s="15"/>
    </row>
    <row r="7" spans="3:7" x14ac:dyDescent="0.3">
      <c r="C7" t="s">
        <v>317</v>
      </c>
    </row>
    <row r="8" spans="3:7" x14ac:dyDescent="0.3">
      <c r="C8" t="s">
        <v>318</v>
      </c>
    </row>
    <row r="12" spans="3:7" x14ac:dyDescent="0.3">
      <c r="C12" s="12" t="s">
        <v>16</v>
      </c>
      <c r="D12" t="s">
        <v>24</v>
      </c>
    </row>
    <row r="14" spans="3:7" x14ac:dyDescent="0.3">
      <c r="C14" s="12" t="s">
        <v>313</v>
      </c>
      <c r="D14" t="s">
        <v>315</v>
      </c>
    </row>
    <row r="15" spans="3:7" x14ac:dyDescent="0.3">
      <c r="C15" s="13" t="s">
        <v>23</v>
      </c>
      <c r="D15" s="14">
        <v>217</v>
      </c>
    </row>
    <row r="16" spans="3:7" x14ac:dyDescent="0.3">
      <c r="C16" s="13" t="s">
        <v>19</v>
      </c>
      <c r="D16" s="14">
        <v>1537</v>
      </c>
    </row>
    <row r="17" spans="3:6" x14ac:dyDescent="0.3">
      <c r="C17" s="13" t="s">
        <v>314</v>
      </c>
      <c r="D17" s="14">
        <v>1754</v>
      </c>
    </row>
    <row r="21" spans="3:6" x14ac:dyDescent="0.3">
      <c r="C21" t="s">
        <v>320</v>
      </c>
    </row>
    <row r="23" spans="3:6" x14ac:dyDescent="0.3">
      <c r="C23" s="12" t="s">
        <v>16</v>
      </c>
      <c r="D23" t="s">
        <v>24</v>
      </c>
    </row>
    <row r="25" spans="3:6" x14ac:dyDescent="0.3">
      <c r="C25" s="12" t="s">
        <v>313</v>
      </c>
      <c r="D25" t="s">
        <v>321</v>
      </c>
    </row>
    <row r="26" spans="3:6" x14ac:dyDescent="0.3">
      <c r="C26" s="13" t="s">
        <v>22</v>
      </c>
      <c r="D26">
        <v>0</v>
      </c>
    </row>
    <row r="27" spans="3:6" x14ac:dyDescent="0.3">
      <c r="C27" s="13" t="s">
        <v>26</v>
      </c>
      <c r="D27">
        <v>0</v>
      </c>
    </row>
    <row r="28" spans="3:6" x14ac:dyDescent="0.3">
      <c r="C28" s="13" t="s">
        <v>18</v>
      </c>
      <c r="D28">
        <v>600</v>
      </c>
    </row>
    <row r="29" spans="3:6" x14ac:dyDescent="0.3">
      <c r="C29" s="13" t="s">
        <v>314</v>
      </c>
      <c r="D29">
        <v>600</v>
      </c>
      <c r="F29" s="19">
        <f>GETPIVOTDATA("EA Play Season Pass
Price",$C$25)</f>
        <v>600</v>
      </c>
    </row>
    <row r="33" spans="3:6" x14ac:dyDescent="0.3">
      <c r="C33" t="s">
        <v>322</v>
      </c>
    </row>
    <row r="35" spans="3:6" x14ac:dyDescent="0.3">
      <c r="C35" s="12" t="s">
        <v>16</v>
      </c>
      <c r="D35" t="s">
        <v>24</v>
      </c>
    </row>
    <row r="37" spans="3:6" x14ac:dyDescent="0.3">
      <c r="C37" s="12" t="s">
        <v>313</v>
      </c>
      <c r="D37" t="s">
        <v>323</v>
      </c>
    </row>
    <row r="38" spans="3:6" x14ac:dyDescent="0.3">
      <c r="C38" s="13" t="s">
        <v>22</v>
      </c>
      <c r="D38" s="14">
        <v>0</v>
      </c>
    </row>
    <row r="39" spans="3:6" x14ac:dyDescent="0.3">
      <c r="C39" s="13" t="s">
        <v>26</v>
      </c>
      <c r="D39" s="14">
        <v>540</v>
      </c>
    </row>
    <row r="40" spans="3:6" x14ac:dyDescent="0.3">
      <c r="C40" s="13" t="s">
        <v>18</v>
      </c>
      <c r="D40" s="14">
        <v>400</v>
      </c>
    </row>
    <row r="41" spans="3:6" x14ac:dyDescent="0.3">
      <c r="C41" s="13" t="s">
        <v>314</v>
      </c>
      <c r="D41" s="14">
        <v>940</v>
      </c>
      <c r="F41" s="20">
        <f>GETPIVOTDATA("Minecraft Season Pass Price",$C$37)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149"/>
  <sheetViews>
    <sheetView showGridLines="0" showRowColHeaders="0" tabSelected="1" zoomScale="80" zoomScaleNormal="80" workbookViewId="0">
      <selection activeCell="V15" sqref="V15"/>
    </sheetView>
  </sheetViews>
  <sheetFormatPr defaultRowHeight="14.4" x14ac:dyDescent="0.3"/>
  <cols>
    <col min="1" max="1" width="26.6640625" style="4" customWidth="1"/>
    <col min="2" max="2" width="3.5546875" customWidth="1"/>
    <col min="12" max="12" width="6.5546875" customWidth="1"/>
  </cols>
  <sheetData>
    <row r="2" spans="2:26" ht="24" customHeight="1" thickBot="1" x14ac:dyDescent="0.6">
      <c r="C2" s="22" t="s">
        <v>319</v>
      </c>
      <c r="D2" s="23"/>
      <c r="E2" s="23"/>
      <c r="F2" s="16"/>
      <c r="G2" s="16"/>
      <c r="H2" s="16"/>
      <c r="I2" s="17"/>
      <c r="J2" s="17"/>
      <c r="K2" s="17"/>
      <c r="L2" s="17"/>
      <c r="M2" s="17"/>
      <c r="N2" s="17"/>
      <c r="O2" s="17"/>
      <c r="P2" s="17"/>
      <c r="Q2" s="17"/>
      <c r="R2" s="21"/>
      <c r="S2" s="21"/>
    </row>
    <row r="3" spans="2:26" ht="24" customHeight="1" thickTop="1" x14ac:dyDescent="0.3"/>
    <row r="4" spans="2:26" ht="8.25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10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3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27.6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18"/>
      <c r="X26" s="7"/>
      <c r="Y26" s="7"/>
      <c r="Z26" s="7"/>
    </row>
    <row r="27" spans="2:2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Vinicius Cardoso</cp:lastModifiedBy>
  <dcterms:created xsi:type="dcterms:W3CDTF">2024-12-19T13:13:10Z</dcterms:created>
  <dcterms:modified xsi:type="dcterms:W3CDTF">2026-03-10T22:21:59Z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